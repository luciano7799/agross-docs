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<sst xmlns="http://schemas.openxmlformats.org/spreadsheetml/2006/main" count="43" uniqueCount="34">
  <si>
    <t xml:space="preserve">Cronograma de Atividades · Nome do Projeto</t>
  </si>
  <si>
    <t xml:space="preserve">PRAZO FINAL</t>
  </si>
  <si>
    <t xml:space="preserve">PROGRESSO</t>
  </si>
  <si>
    <t xml:space="preserve">CONCLUÍDAS</t>
  </si>
  <si>
    <t xml:space="preserve">EM ANDAMENTO</t>
  </si>
  <si>
    <t xml:space="preserve">PLANEJADAS</t>
  </si>
  <si>
    <t xml:space="preserve">ATRASADAS</t>
  </si>
  <si>
    <t xml:space="preserve">DIAS P/ PRAZO</t>
  </si>
  <si>
    <t xml:space="preserve">Prazo final e contadores são calculados automaticamente — preencha apenas as colunas Fase a Situação (a partir da linha 8).</t>
  </si>
  <si>
    <t xml:space="preserve">Fase</t>
  </si>
  <si>
    <t xml:space="preserve">Atividade</t>
  </si>
  <si>
    <t xml:space="preserve">Responsável</t>
  </si>
  <si>
    <t xml:space="preserve">Início</t>
  </si>
  <si>
    <t xml:space="preserve">Término</t>
  </si>
  <si>
    <t xml:space="preserve">Dias</t>
  </si>
  <si>
    <t xml:space="preserve">Situação</t>
  </si>
  <si>
    <t xml:space="preserve">1 · Planejamento</t>
  </si>
  <si>
    <t xml:space="preserve">Levantamento de requisitos</t>
  </si>
  <si>
    <t xml:space="preserve">Responsável A</t>
  </si>
  <si>
    <t xml:space="preserve">Concluída</t>
  </si>
  <si>
    <t xml:space="preserve">Definição do escopo</t>
  </si>
  <si>
    <t xml:space="preserve">2 · Execução</t>
  </si>
  <si>
    <t xml:space="preserve">Preparação do ambiente</t>
  </si>
  <si>
    <t xml:space="preserve">Responsável B</t>
  </si>
  <si>
    <t xml:space="preserve">Execução da atividade principal</t>
  </si>
  <si>
    <t xml:space="preserve">Em andamento</t>
  </si>
  <si>
    <t xml:space="preserve">Conferência dos resultados</t>
  </si>
  <si>
    <t xml:space="preserve">Responsável C</t>
  </si>
  <si>
    <t xml:space="preserve">Planejada</t>
  </si>
  <si>
    <t xml:space="preserve">3 · Encerramento</t>
  </si>
  <si>
    <t xml:space="preserve">Suporte na operação</t>
  </si>
  <si>
    <t xml:space="preserve">LEGENDA</t>
  </si>
  <si>
    <t xml:space="preserve">Atrasada (automático)</t>
  </si>
  <si>
    <t xml:space="preserve">As barras acompanham Início/Término. Atrasada = Término já passou e a situação não é Concluída. As linhas 8–13 são exemplos: substitua ou apague.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</si>
</sst>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%"/>
    <numFmt numFmtId="167" formatCode="0"/>
    <numFmt numFmtId="168" formatCode="dd/mm"/>
    <numFmt numFmtId="169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8"/>
      <color rgb="FF64748B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14"/>
      <color rgb="FFB91C1C"/>
      <name val="Arial"/>
      <family val="0"/>
      <charset val="1"/>
    </font>
    <font>
      <b val="true"/>
      <sz val="14"/>
      <color rgb="FF16A34A"/>
      <name val="Arial"/>
      <family val="0"/>
      <charset val="1"/>
    </font>
    <font>
      <b val="true"/>
      <sz val="14"/>
      <color rgb="FF0F172A"/>
      <name val="Arial"/>
      <family val="0"/>
      <charset val="1"/>
    </font>
    <font>
      <b val="true"/>
      <sz val="14"/>
      <color rgb="FFDC262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CBD5E1"/>
      <name val="Arial"/>
      <family val="0"/>
      <charset val="1"/>
    </font>
    <font>
      <b val="true"/>
      <sz val="9"/>
      <color rgb="FF334155"/>
      <name val="Arial"/>
      <family val="0"/>
      <charset val="1"/>
    </font>
    <font>
      <sz val="10"/>
      <color rgb="FF0F172A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64748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F8FAFC"/>
        <bgColor rgb="FFFFFFFF"/>
      </patternFill>
    </fill>
    <fill>
      <patternFill patternType="solid">
        <fgColor rgb="FF16A34A"/>
        <bgColor rgb="FF008080"/>
      </patternFill>
    </fill>
    <fill>
      <patternFill patternType="solid">
        <fgColor rgb="FFF59E0B"/>
        <bgColor rgb="FFD97706"/>
      </patternFill>
    </fill>
    <fill>
      <patternFill patternType="solid">
        <fgColor rgb="FF3B82F6"/>
        <bgColor rgb="FF0066CC"/>
      </patternFill>
    </fill>
    <fill>
      <patternFill patternType="solid">
        <fgColor rgb="FFDC2626"/>
        <bgColor rgb="FFB91C1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8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9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0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color rgb="FF16A34A"/>
      </font>
      <fill>
        <patternFill>
          <bgColor rgb="FF16A34A"/>
        </patternFill>
      </fill>
    </dxf>
    <dxf>
      <font>
        <color rgb="FFDC2626"/>
      </font>
      <fill>
        <patternFill>
          <bgColor rgb="FFDC2626"/>
        </patternFill>
      </fill>
    </dxf>
    <dxf>
      <font>
        <color rgb="FFF59E0B"/>
      </font>
      <fill>
        <patternFill>
          <bgColor rgb="FFF59E0B"/>
        </patternFill>
      </fill>
    </dxf>
    <dxf>
      <font>
        <color rgb="FF3B82F6"/>
      </font>
      <fill>
        <patternFill>
          <bgColor rgb="FF3B82F6"/>
        </patternFill>
      </fill>
    </dxf>
    <dxf>
      <fill>
        <patternFill>
          <bgColor rgb="FFFFFBEB"/>
        </patternFill>
      </fill>
    </dxf>
    <dxf>
      <fill>
        <patternFill>
          <bgColor rgb="FFF1F5F9"/>
        </patternFill>
      </fill>
    </dxf>
    <dxf>
      <fill>
        <patternFill>
          <bgColor rgb="FFD97706"/>
        </patternFill>
      </fill>
    </dxf>
    <dxf>
      <font>
        <b val="1"/>
        <color rgb="FFB91C1C"/>
      </font>
      <fill>
        <patternFill>
          <bgColor rgb="FFFEE2E2"/>
        </patternFill>
      </fill>
    </dxf>
    <dxf>
      <font>
        <color rgb="FF16A34A"/>
      </font>
    </dxf>
    <dxf>
      <fill>
        <patternFill>
          <bgColor rgb="FFFFF7ED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7ED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59E0B"/>
      <rgbColor rgb="FFD97706"/>
      <rgbColor rgb="FF64748B"/>
      <rgbColor rgb="FF969696"/>
      <rgbColor rgb="FF003366"/>
      <rgbColor rgb="FF16A34A"/>
      <rgbColor rgb="FF0F172A"/>
      <rgbColor rgb="FF333300"/>
      <rgbColor rgb="FFB91C1C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H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38" min="8" style="0" width="5.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</row>
    <row r="4" customFormat="false" ht="30" hidden="false" customHeight="true" outlineLevel="0" collapsed="false">
      <c r="A4" s="4" t="n">
        <f aca="false">IF(COUNT($E$8:$E$37)=0,"",MAX($E$8:$E$37))</f>
        <v>46309</v>
      </c>
      <c r="B4" s="5" t="n">
        <f aca="false">IF(COUNTA($B$8:$B$37)=0,0,COUNTIF($G$8:$G$37,"Concluída")/COUNTA($B$8:$B$37))</f>
        <v>0.5</v>
      </c>
      <c r="C4" s="6" t="n">
        <f aca="false">COUNTIF($G$8:$G$37,"Concluída")</f>
        <v>3</v>
      </c>
      <c r="D4" s="6" t="n">
        <f aca="false">COUNTIF($G$8:$G$37,"Em andamento")</f>
        <v>1</v>
      </c>
      <c r="E4" s="6" t="n">
        <f aca="false">COUNTIF($G$8:$G$37,"Planejada")</f>
        <v>2</v>
      </c>
      <c r="F4" s="7" t="n">
        <f aca="true">SUMPRODUCT(($E$8:$E$37&lt;&gt;"")*($E$8:$E$37&lt;TODAY())*($G$8:$G$37&lt;&gt;"Concluída"))</f>
        <v>0</v>
      </c>
      <c r="G4" s="6" t="n">
        <f aca="true">IF(A4="","",MAX(0,A4-TODAY()))</f>
        <v>8</v>
      </c>
    </row>
    <row r="5" customFormat="false" ht="9.75" hidden="false" customHeight="true" outlineLevel="0" collapsed="false"/>
    <row r="6" customFormat="false" ht="21.75" hidden="false" customHeight="true" outlineLevel="0" collapsed="false">
      <c r="A6" s="8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8" t="s">
        <v>14</v>
      </c>
      <c r="G6" s="8" t="s">
        <v>15</v>
      </c>
      <c r="H6" s="9" t="n">
        <f aca="true">IF(COUNT($D$8:$D$37)=0,TODAY(),MIN($D$8:$D$37))</f>
        <v>46296</v>
      </c>
      <c r="I6" s="9" t="n">
        <f aca="false">H6+1</f>
        <v>46297</v>
      </c>
      <c r="J6" s="9" t="n">
        <f aca="false">I6+1</f>
        <v>46298</v>
      </c>
      <c r="K6" s="9" t="n">
        <f aca="false">J6+1</f>
        <v>46299</v>
      </c>
      <c r="L6" s="9" t="n">
        <f aca="false">K6+1</f>
        <v>46300</v>
      </c>
      <c r="M6" s="9" t="n">
        <f aca="false">L6+1</f>
        <v>46301</v>
      </c>
      <c r="N6" s="9" t="n">
        <f aca="false">M6+1</f>
        <v>46302</v>
      </c>
      <c r="O6" s="9" t="n">
        <f aca="false">N6+1</f>
        <v>46303</v>
      </c>
      <c r="P6" s="9" t="n">
        <f aca="false">O6+1</f>
        <v>46304</v>
      </c>
      <c r="Q6" s="9" t="n">
        <f aca="false">P6+1</f>
        <v>46305</v>
      </c>
      <c r="R6" s="9" t="n">
        <f aca="false">Q6+1</f>
        <v>46306</v>
      </c>
      <c r="S6" s="9" t="n">
        <f aca="false">R6+1</f>
        <v>46307</v>
      </c>
      <c r="T6" s="9" t="n">
        <f aca="false">S6+1</f>
        <v>46308</v>
      </c>
      <c r="U6" s="9" t="n">
        <f aca="false">T6+1</f>
        <v>46309</v>
      </c>
      <c r="V6" s="9" t="n">
        <f aca="false">U6+1</f>
        <v>46310</v>
      </c>
      <c r="W6" s="9" t="n">
        <f aca="false">V6+1</f>
        <v>46311</v>
      </c>
      <c r="X6" s="9" t="n">
        <f aca="false">W6+1</f>
        <v>46312</v>
      </c>
      <c r="Y6" s="9" t="n">
        <f aca="false">X6+1</f>
        <v>46313</v>
      </c>
      <c r="Z6" s="9" t="n">
        <f aca="false">Y6+1</f>
        <v>46314</v>
      </c>
      <c r="AA6" s="9" t="n">
        <f aca="false">Z6+1</f>
        <v>46315</v>
      </c>
      <c r="AB6" s="9" t="n">
        <f aca="false">AA6+1</f>
        <v>46316</v>
      </c>
      <c r="AC6" s="9" t="n">
        <f aca="false">AB6+1</f>
        <v>46317</v>
      </c>
      <c r="AD6" s="9" t="n">
        <f aca="false">AC6+1</f>
        <v>46318</v>
      </c>
      <c r="AE6" s="9" t="n">
        <f aca="false">AD6+1</f>
        <v>46319</v>
      </c>
      <c r="AF6" s="9" t="n">
        <f aca="false">AE6+1</f>
        <v>46320</v>
      </c>
      <c r="AG6" s="9" t="n">
        <f aca="false">AF6+1</f>
        <v>46321</v>
      </c>
      <c r="AH6" s="9" t="n">
        <f aca="false">AG6+1</f>
        <v>46322</v>
      </c>
      <c r="AI6" s="9" t="n">
        <f aca="false">AH6+1</f>
        <v>46323</v>
      </c>
      <c r="AJ6" s="9" t="n">
        <f aca="false">AI6+1</f>
        <v>46324</v>
      </c>
      <c r="AK6" s="9" t="n">
        <f aca="false">AJ6+1</f>
        <v>46325</v>
      </c>
      <c r="AL6" s="9" t="n">
        <f aca="false">AK6+1</f>
        <v>46326</v>
      </c>
    </row>
    <row r="7" customFormat="false" ht="15.75" hidden="false" customHeight="true" outlineLevel="0" collapsed="false">
      <c r="A7" s="8"/>
      <c r="B7" s="8"/>
      <c r="C7" s="8"/>
      <c r="D7" s="8"/>
      <c r="E7" s="8"/>
      <c r="F7" s="8"/>
      <c r="G7" s="8"/>
      <c r="H7" s="10" t="str">
        <f aca="true">IF(H$6=TODAY(),"HOJE",CHOOSE(WEEKDAY(H$6),"dom","seg","ter","qua","qui","sex","sáb"))</f>
        <v>qui</v>
      </c>
      <c r="I7" s="10" t="str">
        <f aca="true">IF(I$6=TODAY(),"HOJE",CHOOSE(WEEKDAY(I$6),"dom","seg","ter","qua","qui","sex","sáb"))</f>
        <v>sex</v>
      </c>
      <c r="J7" s="10" t="str">
        <f aca="true">IF(J$6=TODAY(),"HOJE",CHOOSE(WEEKDAY(J$6),"dom","seg","ter","qua","qui","sex","sáb"))</f>
        <v>sáb</v>
      </c>
      <c r="K7" s="10" t="str">
        <f aca="true">IF(K$6=TODAY(),"HOJE",CHOOSE(WEEKDAY(K$6),"dom","seg","ter","qua","qui","sex","sáb"))</f>
        <v>dom</v>
      </c>
      <c r="L7" s="10" t="str">
        <f aca="true">IF(L$6=TODAY(),"HOJE",CHOOSE(WEEKDAY(L$6),"dom","seg","ter","qua","qui","sex","sáb"))</f>
        <v>seg</v>
      </c>
      <c r="M7" s="10" t="str">
        <f aca="true">IF(M$6=TODAY(),"HOJE",CHOOSE(WEEKDAY(M$6),"dom","seg","ter","qua","qui","sex","sáb"))</f>
        <v>HOJE</v>
      </c>
      <c r="N7" s="10" t="str">
        <f aca="true">IF(N$6=TODAY(),"HOJE",CHOOSE(WEEKDAY(N$6),"dom","seg","ter","qua","qui","sex","sáb"))</f>
        <v>qua</v>
      </c>
      <c r="O7" s="10" t="str">
        <f aca="true">IF(O$6=TODAY(),"HOJE",CHOOSE(WEEKDAY(O$6),"dom","seg","ter","qua","qui","sex","sáb"))</f>
        <v>qui</v>
      </c>
      <c r="P7" s="10" t="str">
        <f aca="true">IF(P$6=TODAY(),"HOJE",CHOOSE(WEEKDAY(P$6),"dom","seg","ter","qua","qui","sex","sáb"))</f>
        <v>sex</v>
      </c>
      <c r="Q7" s="10" t="str">
        <f aca="true">IF(Q$6=TODAY(),"HOJE",CHOOSE(WEEKDAY(Q$6),"dom","seg","ter","qua","qui","sex","sáb"))</f>
        <v>sáb</v>
      </c>
      <c r="R7" s="10" t="str">
        <f aca="true">IF(R$6=TODAY(),"HOJE",CHOOSE(WEEKDAY(R$6),"dom","seg","ter","qua","qui","sex","sáb"))</f>
        <v>dom</v>
      </c>
      <c r="S7" s="10" t="str">
        <f aca="true">IF(S$6=TODAY(),"HOJE",CHOOSE(WEEKDAY(S$6),"dom","seg","ter","qua","qui","sex","sáb"))</f>
        <v>seg</v>
      </c>
      <c r="T7" s="10" t="str">
        <f aca="true">IF(T$6=TODAY(),"HOJE",CHOOSE(WEEKDAY(T$6),"dom","seg","ter","qua","qui","sex","sáb"))</f>
        <v>ter</v>
      </c>
      <c r="U7" s="10" t="str">
        <f aca="true">IF(U$6=TODAY(),"HOJE",CHOOSE(WEEKDAY(U$6),"dom","seg","ter","qua","qui","sex","sáb"))</f>
        <v>qua</v>
      </c>
      <c r="V7" s="10" t="str">
        <f aca="true">IF(V$6=TODAY(),"HOJE",CHOOSE(WEEKDAY(V$6),"dom","seg","ter","qua","qui","sex","sáb"))</f>
        <v>qui</v>
      </c>
      <c r="W7" s="10" t="str">
        <f aca="true">IF(W$6=TODAY(),"HOJE",CHOOSE(WEEKDAY(W$6),"dom","seg","ter","qua","qui","sex","sáb"))</f>
        <v>sex</v>
      </c>
      <c r="X7" s="10" t="str">
        <f aca="true">IF(X$6=TODAY(),"HOJE",CHOOSE(WEEKDAY(X$6),"dom","seg","ter","qua","qui","sex","sáb"))</f>
        <v>sáb</v>
      </c>
      <c r="Y7" s="10" t="str">
        <f aca="true">IF(Y$6=TODAY(),"HOJE",CHOOSE(WEEKDAY(Y$6),"dom","seg","ter","qua","qui","sex","sáb"))</f>
        <v>dom</v>
      </c>
      <c r="Z7" s="10" t="str">
        <f aca="true">IF(Z$6=TODAY(),"HOJE",CHOOSE(WEEKDAY(Z$6),"dom","seg","ter","qua","qui","sex","sáb"))</f>
        <v>seg</v>
      </c>
      <c r="AA7" s="10" t="str">
        <f aca="true">IF(AA$6=TODAY(),"HOJE",CHOOSE(WEEKDAY(AA$6),"dom","seg","ter","qua","qui","sex","sáb"))</f>
        <v>ter</v>
      </c>
      <c r="AB7" s="10" t="str">
        <f aca="true">IF(AB$6=TODAY(),"HOJE",CHOOSE(WEEKDAY(AB$6),"dom","seg","ter","qua","qui","sex","sáb"))</f>
        <v>qua</v>
      </c>
      <c r="AC7" s="10" t="str">
        <f aca="true">IF(AC$6=TODAY(),"HOJE",CHOOSE(WEEKDAY(AC$6),"dom","seg","ter","qua","qui","sex","sáb"))</f>
        <v>qui</v>
      </c>
      <c r="AD7" s="10" t="str">
        <f aca="true">IF(AD$6=TODAY(),"HOJE",CHOOSE(WEEKDAY(AD$6),"dom","seg","ter","qua","qui","sex","sáb"))</f>
        <v>sex</v>
      </c>
      <c r="AE7" s="10" t="str">
        <f aca="true">IF(AE$6=TODAY(),"HOJE",CHOOSE(WEEKDAY(AE$6),"dom","seg","ter","qua","qui","sex","sáb"))</f>
        <v>sáb</v>
      </c>
      <c r="AF7" s="10" t="str">
        <f aca="true">IF(AF$6=TODAY(),"HOJE",CHOOSE(WEEKDAY(AF$6),"dom","seg","ter","qua","qui","sex","sáb"))</f>
        <v>dom</v>
      </c>
      <c r="AG7" s="10" t="str">
        <f aca="true">IF(AG$6=TODAY(),"HOJE",CHOOSE(WEEKDAY(AG$6),"dom","seg","ter","qua","qui","sex","sáb"))</f>
        <v>seg</v>
      </c>
      <c r="AH7" s="10" t="str">
        <f aca="true">IF(AH$6=TODAY(),"HOJE",CHOOSE(WEEKDAY(AH$6),"dom","seg","ter","qua","qui","sex","sáb"))</f>
        <v>ter</v>
      </c>
      <c r="AI7" s="10" t="str">
        <f aca="true">IF(AI$6=TODAY(),"HOJE",CHOOSE(WEEKDAY(AI$6),"dom","seg","ter","qua","qui","sex","sáb"))</f>
        <v>qua</v>
      </c>
      <c r="AJ7" s="10" t="str">
        <f aca="true">IF(AJ$6=TODAY(),"HOJE",CHOOSE(WEEKDAY(AJ$6),"dom","seg","ter","qua","qui","sex","sáb"))</f>
        <v>qui</v>
      </c>
      <c r="AK7" s="10" t="str">
        <f aca="true">IF(AK$6=TODAY(),"HOJE",CHOOSE(WEEKDAY(AK$6),"dom","seg","ter","qua","qui","sex","sáb"))</f>
        <v>sex</v>
      </c>
      <c r="AL7" s="10" t="str">
        <f aca="true">IF(AL$6=TODAY(),"HOJE",CHOOSE(WEEKDAY(AL$6),"dom","seg","ter","qua","qui","sex","sáb"))</f>
        <v>sáb</v>
      </c>
    </row>
    <row r="8" customFormat="false" ht="21.75" hidden="false" customHeight="true" outlineLevel="0" collapsed="false">
      <c r="A8" s="11" t="s">
        <v>16</v>
      </c>
      <c r="B8" s="12" t="s">
        <v>17</v>
      </c>
      <c r="C8" s="13" t="s">
        <v>18</v>
      </c>
      <c r="D8" s="14" t="n">
        <v>46296</v>
      </c>
      <c r="E8" s="14" t="n">
        <v>46297</v>
      </c>
      <c r="F8" s="15" t="n">
        <f aca="false">IF(OR(D8="",E8=""),"",E8-D8+1)</f>
        <v>2</v>
      </c>
      <c r="G8" s="16" t="s">
        <v>19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customFormat="false" ht="21.75" hidden="false" customHeight="true" outlineLevel="0" collapsed="false">
      <c r="A9" s="11"/>
      <c r="B9" s="12" t="s">
        <v>20</v>
      </c>
      <c r="C9" s="13" t="s">
        <v>18</v>
      </c>
      <c r="D9" s="14" t="n">
        <v>46297</v>
      </c>
      <c r="E9" s="14" t="n">
        <v>46298</v>
      </c>
      <c r="F9" s="15" t="n">
        <f aca="false">IF(OR(D9="",E9=""),"",E9-D9+1)</f>
        <v>2</v>
      </c>
      <c r="G9" s="16" t="s">
        <v>19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customFormat="false" ht="21.75" hidden="false" customHeight="true" outlineLevel="0" collapsed="false">
      <c r="A10" s="11" t="s">
        <v>21</v>
      </c>
      <c r="B10" s="12" t="s">
        <v>22</v>
      </c>
      <c r="C10" s="13" t="s">
        <v>23</v>
      </c>
      <c r="D10" s="14" t="n">
        <v>46300</v>
      </c>
      <c r="E10" s="14" t="n">
        <v>46301</v>
      </c>
      <c r="F10" s="15" t="n">
        <f aca="false">IF(OR(D10="",E10=""),"",E10-D10+1)</f>
        <v>2</v>
      </c>
      <c r="G10" s="16" t="s">
        <v>19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customFormat="false" ht="21.75" hidden="false" customHeight="true" outlineLevel="0" collapsed="false">
      <c r="A11" s="11"/>
      <c r="B11" s="12" t="s">
        <v>24</v>
      </c>
      <c r="C11" s="13" t="s">
        <v>23</v>
      </c>
      <c r="D11" s="14" t="n">
        <v>46301</v>
      </c>
      <c r="E11" s="14" t="n">
        <v>46304</v>
      </c>
      <c r="F11" s="15" t="n">
        <f aca="false">IF(OR(D11="",E11=""),"",E11-D11+1)</f>
        <v>4</v>
      </c>
      <c r="G11" s="16" t="s">
        <v>25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customFormat="false" ht="21.75" hidden="false" customHeight="true" outlineLevel="0" collapsed="false">
      <c r="A12" s="11"/>
      <c r="B12" s="12" t="s">
        <v>26</v>
      </c>
      <c r="C12" s="13" t="s">
        <v>27</v>
      </c>
      <c r="D12" s="14" t="n">
        <v>46304</v>
      </c>
      <c r="E12" s="14" t="n">
        <v>46305</v>
      </c>
      <c r="F12" s="15" t="n">
        <f aca="false">IF(OR(D12="",E12=""),"",E12-D12+1)</f>
        <v>2</v>
      </c>
      <c r="G12" s="16" t="s">
        <v>28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customFormat="false" ht="21.75" hidden="false" customHeight="true" outlineLevel="0" collapsed="false">
      <c r="A13" s="11" t="s">
        <v>29</v>
      </c>
      <c r="B13" s="12" t="s">
        <v>30</v>
      </c>
      <c r="C13" s="13" t="s">
        <v>18</v>
      </c>
      <c r="D13" s="14" t="n">
        <v>46307</v>
      </c>
      <c r="E13" s="14" t="n">
        <v>46309</v>
      </c>
      <c r="F13" s="15" t="n">
        <f aca="false">IF(OR(D13="",E13=""),"",E13-D13+1)</f>
        <v>3</v>
      </c>
      <c r="G13" s="16" t="s">
        <v>28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customFormat="false" ht="21.75" hidden="false" customHeight="true" outlineLevel="0" collapsed="false">
      <c r="A14" s="11"/>
      <c r="B14" s="12"/>
      <c r="C14" s="13"/>
      <c r="D14" s="14"/>
      <c r="E14" s="14"/>
      <c r="F14" s="15" t="str">
        <f aca="false">IF(OR(D14="",E14=""),"",E14-D14+1)</f>
        <v/>
      </c>
      <c r="G14" s="1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customFormat="false" ht="21.75" hidden="false" customHeight="true" outlineLevel="0" collapsed="false">
      <c r="A15" s="11"/>
      <c r="B15" s="12"/>
      <c r="C15" s="13"/>
      <c r="D15" s="14"/>
      <c r="E15" s="14"/>
      <c r="F15" s="15" t="str">
        <f aca="false">IF(OR(D15="",E15=""),"",E15-D15+1)</f>
        <v/>
      </c>
      <c r="G15" s="16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customFormat="false" ht="21.75" hidden="false" customHeight="true" outlineLevel="0" collapsed="false">
      <c r="A16" s="11"/>
      <c r="B16" s="12"/>
      <c r="C16" s="13"/>
      <c r="D16" s="14"/>
      <c r="E16" s="14"/>
      <c r="F16" s="15" t="str">
        <f aca="false">IF(OR(D16="",E16=""),"",E16-D16+1)</f>
        <v/>
      </c>
      <c r="G16" s="16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customFormat="false" ht="21.75" hidden="false" customHeight="true" outlineLevel="0" collapsed="false">
      <c r="A17" s="11"/>
      <c r="B17" s="12"/>
      <c r="C17" s="13"/>
      <c r="D17" s="14"/>
      <c r="E17" s="14"/>
      <c r="F17" s="15" t="str">
        <f aca="false">IF(OR(D17="",E17=""),"",E17-D17+1)</f>
        <v/>
      </c>
      <c r="G17" s="16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customFormat="false" ht="21.75" hidden="false" customHeight="true" outlineLevel="0" collapsed="false">
      <c r="A18" s="11"/>
      <c r="B18" s="12"/>
      <c r="C18" s="13"/>
      <c r="D18" s="14"/>
      <c r="E18" s="14"/>
      <c r="F18" s="15" t="str">
        <f aca="false">IF(OR(D18="",E18=""),"",E18-D18+1)</f>
        <v/>
      </c>
      <c r="G18" s="1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customFormat="false" ht="21.75" hidden="false" customHeight="true" outlineLevel="0" collapsed="false">
      <c r="A19" s="11"/>
      <c r="B19" s="12"/>
      <c r="C19" s="13"/>
      <c r="D19" s="14"/>
      <c r="E19" s="14"/>
      <c r="F19" s="15" t="str">
        <f aca="false">IF(OR(D19="",E19=""),"",E19-D19+1)</f>
        <v/>
      </c>
      <c r="G19" s="16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customFormat="false" ht="21.75" hidden="false" customHeight="true" outlineLevel="0" collapsed="false">
      <c r="A20" s="11"/>
      <c r="B20" s="12"/>
      <c r="C20" s="13"/>
      <c r="D20" s="14"/>
      <c r="E20" s="14"/>
      <c r="F20" s="15" t="str">
        <f aca="false">IF(OR(D20="",E20=""),"",E20-D20+1)</f>
        <v/>
      </c>
      <c r="G20" s="16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customFormat="false" ht="21.75" hidden="false" customHeight="true" outlineLevel="0" collapsed="false">
      <c r="A21" s="11"/>
      <c r="B21" s="12"/>
      <c r="C21" s="13"/>
      <c r="D21" s="14"/>
      <c r="E21" s="14"/>
      <c r="F21" s="15" t="str">
        <f aca="false">IF(OR(D21="",E21=""),"",E21-D21+1)</f>
        <v/>
      </c>
      <c r="G21" s="1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customFormat="false" ht="21.75" hidden="false" customHeight="true" outlineLevel="0" collapsed="false">
      <c r="A22" s="11"/>
      <c r="B22" s="12"/>
      <c r="C22" s="13"/>
      <c r="D22" s="14"/>
      <c r="E22" s="14"/>
      <c r="F22" s="15" t="str">
        <f aca="false">IF(OR(D22="",E22=""),"",E22-D22+1)</f>
        <v/>
      </c>
      <c r="G22" s="1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customFormat="false" ht="21.75" hidden="false" customHeight="true" outlineLevel="0" collapsed="false">
      <c r="A23" s="11"/>
      <c r="B23" s="12"/>
      <c r="C23" s="13"/>
      <c r="D23" s="14"/>
      <c r="E23" s="14"/>
      <c r="F23" s="15" t="str">
        <f aca="false">IF(OR(D23="",E23=""),"",E23-D23+1)</f>
        <v/>
      </c>
      <c r="G23" s="1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customFormat="false" ht="21.75" hidden="false" customHeight="true" outlineLevel="0" collapsed="false">
      <c r="A24" s="11"/>
      <c r="B24" s="12"/>
      <c r="C24" s="13"/>
      <c r="D24" s="14"/>
      <c r="E24" s="14"/>
      <c r="F24" s="15" t="str">
        <f aca="false">IF(OR(D24="",E24=""),"",E24-D24+1)</f>
        <v/>
      </c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customFormat="false" ht="21.75" hidden="false" customHeight="true" outlineLevel="0" collapsed="false">
      <c r="A25" s="11"/>
      <c r="B25" s="12"/>
      <c r="C25" s="13"/>
      <c r="D25" s="14"/>
      <c r="E25" s="14"/>
      <c r="F25" s="15" t="str">
        <f aca="false">IF(OR(D25="",E25=""),"",E25-D25+1)</f>
        <v/>
      </c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customFormat="false" ht="21.75" hidden="false" customHeight="true" outlineLevel="0" collapsed="false">
      <c r="A26" s="11"/>
      <c r="B26" s="12"/>
      <c r="C26" s="13"/>
      <c r="D26" s="14"/>
      <c r="E26" s="14"/>
      <c r="F26" s="15" t="str">
        <f aca="false">IF(OR(D26="",E26=""),"",E26-D26+1)</f>
        <v/>
      </c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customFormat="false" ht="21.75" hidden="false" customHeight="true" outlineLevel="0" collapsed="false">
      <c r="A27" s="11"/>
      <c r="B27" s="12"/>
      <c r="C27" s="13"/>
      <c r="D27" s="14"/>
      <c r="E27" s="14"/>
      <c r="F27" s="15" t="str">
        <f aca="false">IF(OR(D27="",E27=""),"",E27-D27+1)</f>
        <v/>
      </c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customFormat="false" ht="21.75" hidden="false" customHeight="true" outlineLevel="0" collapsed="false">
      <c r="A28" s="11"/>
      <c r="B28" s="12"/>
      <c r="C28" s="13"/>
      <c r="D28" s="14"/>
      <c r="E28" s="14"/>
      <c r="F28" s="15" t="str">
        <f aca="false">IF(OR(D28="",E28=""),"",E28-D28+1)</f>
        <v/>
      </c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customFormat="false" ht="21.75" hidden="false" customHeight="true" outlineLevel="0" collapsed="false">
      <c r="A29" s="11"/>
      <c r="B29" s="12"/>
      <c r="C29" s="13"/>
      <c r="D29" s="14"/>
      <c r="E29" s="14"/>
      <c r="F29" s="15" t="str">
        <f aca="false">IF(OR(D29="",E29=""),"",E29-D29+1)</f>
        <v/>
      </c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customFormat="false" ht="21.75" hidden="false" customHeight="true" outlineLevel="0" collapsed="false">
      <c r="A30" s="11"/>
      <c r="B30" s="12"/>
      <c r="C30" s="13"/>
      <c r="D30" s="14"/>
      <c r="E30" s="14"/>
      <c r="F30" s="15" t="str">
        <f aca="false">IF(OR(D30="",E30=""),"",E30-D30+1)</f>
        <v/>
      </c>
      <c r="G30" s="1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customFormat="false" ht="21.75" hidden="false" customHeight="true" outlineLevel="0" collapsed="false">
      <c r="A31" s="11"/>
      <c r="B31" s="12"/>
      <c r="C31" s="13"/>
      <c r="D31" s="14"/>
      <c r="E31" s="14"/>
      <c r="F31" s="15" t="str">
        <f aca="false">IF(OR(D31="",E31=""),"",E31-D31+1)</f>
        <v/>
      </c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customFormat="false" ht="21.75" hidden="false" customHeight="true" outlineLevel="0" collapsed="false">
      <c r="A32" s="11"/>
      <c r="B32" s="12"/>
      <c r="C32" s="13"/>
      <c r="D32" s="14"/>
      <c r="E32" s="14"/>
      <c r="F32" s="15" t="str">
        <f aca="false">IF(OR(D32="",E32=""),"",E32-D32+1)</f>
        <v/>
      </c>
      <c r="G32" s="16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customFormat="false" ht="21.75" hidden="false" customHeight="true" outlineLevel="0" collapsed="false">
      <c r="A33" s="11"/>
      <c r="B33" s="12"/>
      <c r="C33" s="13"/>
      <c r="D33" s="14"/>
      <c r="E33" s="14"/>
      <c r="F33" s="15" t="str">
        <f aca="false">IF(OR(D33="",E33=""),"",E33-D33+1)</f>
        <v/>
      </c>
      <c r="G33" s="16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customFormat="false" ht="21.75" hidden="false" customHeight="true" outlineLevel="0" collapsed="false">
      <c r="A34" s="11"/>
      <c r="B34" s="12"/>
      <c r="C34" s="13"/>
      <c r="D34" s="14"/>
      <c r="E34" s="14"/>
      <c r="F34" s="15" t="str">
        <f aca="false">IF(OR(D34="",E34=""),"",E34-D34+1)</f>
        <v/>
      </c>
      <c r="G34" s="16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customFormat="false" ht="21.75" hidden="false" customHeight="true" outlineLevel="0" collapsed="false">
      <c r="A35" s="11"/>
      <c r="B35" s="12"/>
      <c r="C35" s="13"/>
      <c r="D35" s="14"/>
      <c r="E35" s="14"/>
      <c r="F35" s="15" t="str">
        <f aca="false">IF(OR(D35="",E35=""),"",E35-D35+1)</f>
        <v/>
      </c>
      <c r="G35" s="16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customFormat="false" ht="21.75" hidden="false" customHeight="true" outlineLevel="0" collapsed="false">
      <c r="A36" s="11"/>
      <c r="B36" s="12"/>
      <c r="C36" s="13"/>
      <c r="D36" s="14"/>
      <c r="E36" s="14"/>
      <c r="F36" s="15" t="str">
        <f aca="false">IF(OR(D36="",E36=""),"",E36-D36+1)</f>
        <v/>
      </c>
      <c r="G36" s="16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customFormat="false" ht="21.75" hidden="false" customHeight="true" outlineLevel="0" collapsed="false">
      <c r="A37" s="11"/>
      <c r="B37" s="12"/>
      <c r="C37" s="13"/>
      <c r="D37" s="14"/>
      <c r="E37" s="14"/>
      <c r="F37" s="15" t="str">
        <f aca="false">IF(OR(D37="",E37=""),"",E37-D37+1)</f>
        <v/>
      </c>
      <c r="G37" s="16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9" customFormat="false" ht="15" hidden="false" customHeight="false" outlineLevel="0" collapsed="false">
      <c r="A39" s="18" t="s">
        <v>31</v>
      </c>
    </row>
    <row r="40" customFormat="false" ht="15" hidden="false" customHeight="false" outlineLevel="0" collapsed="false">
      <c r="A40" s="19" t="s">
        <v>19</v>
      </c>
    </row>
    <row r="41" customFormat="false" ht="15" hidden="false" customHeight="false" outlineLevel="0" collapsed="false">
      <c r="A41" s="20" t="s">
        <v>25</v>
      </c>
    </row>
    <row r="42" customFormat="false" ht="15" hidden="false" customHeight="false" outlineLevel="0" collapsed="false">
      <c r="A42" s="21" t="s">
        <v>28</v>
      </c>
    </row>
    <row r="43" customFormat="false" ht="15" hidden="false" customHeight="false" outlineLevel="0" collapsed="false">
      <c r="A43" s="22" t="s">
        <v>32</v>
      </c>
    </row>
    <row r="45" customFormat="false" ht="15" hidden="false" customHeight="false" outlineLevel="0" collapsed="false">
      <c r="A45" s="3" t="s">
        <v>33</v>
      </c>
    </row>
  </sheetData>
  <mergeCells count="8">
    <mergeCell ref="A1:AL1"/>
    <mergeCell ref="A6:A7"/>
    <mergeCell ref="B6:B7"/>
    <mergeCell ref="C6:C7"/>
    <mergeCell ref="D6:D7"/>
    <mergeCell ref="E6:E7"/>
    <mergeCell ref="F6:F7"/>
    <mergeCell ref="G6:G7"/>
  </mergeCells>
  <conditionalFormatting sqref="H8:AL37">
    <cfRule type="expression" priority="2" aboveAverage="0" equalAverage="0" bottom="0" percent="0" rank="0" text="" dxfId="0">
      <formula>AND(AND($D8&lt;&gt;"",$E8&lt;&gt;"",H$6&gt;=$D8,H$6&lt;=$E8),$G8="Concluída")</formula>
    </cfRule>
    <cfRule type="expression" priority="3" aboveAverage="0" equalAverage="0" bottom="0" percent="0" rank="0" text="" dxfId="1">
      <formula>AND(AND($D8&lt;&gt;"",$E8&lt;&gt;"",H$6&gt;=$D8,H$6&lt;=$E8),$E8&lt;TODAY())</formula>
    </cfRule>
    <cfRule type="expression" priority="4" aboveAverage="0" equalAverage="0" bottom="0" percent="0" rank="0" text="" dxfId="2">
      <formula>AND(AND($D8&lt;&gt;"",$E8&lt;&gt;"",H$6&gt;=$D8,H$6&lt;=$E8),$G8="Em andamento")</formula>
    </cfRule>
    <cfRule type="expression" priority="5" aboveAverage="0" equalAverage="0" bottom="0" percent="0" rank="0" text="" dxfId="3">
      <formula>AND(AND($D8&lt;&gt;"",$E8&lt;&gt;"",H$6&gt;=$D8,H$6&lt;=$E8),1)</formula>
    </cfRule>
    <cfRule type="expression" priority="6" aboveAverage="0" equalAverage="0" bottom="0" percent="0" rank="0" text="" dxfId="4">
      <formula>H$6=TODAY()</formula>
    </cfRule>
    <cfRule type="expression" priority="7" aboveAverage="0" equalAverage="0" bottom="0" percent="0" rank="0" text="" dxfId="5">
      <formula>OR(WEEKDAY(H$6)=1,WEEKDAY(H$6)=7)</formula>
    </cfRule>
  </conditionalFormatting>
  <conditionalFormatting sqref="H6:AL7">
    <cfRule type="expression" priority="8" aboveAverage="0" equalAverage="0" bottom="0" percent="0" rank="0" text="" dxfId="6">
      <formula>H$6=TODAY()</formula>
    </cfRule>
  </conditionalFormatting>
  <conditionalFormatting sqref="E8:E37">
    <cfRule type="expression" priority="9" aboveAverage="0" equalAverage="0" bottom="0" percent="0" rank="0" text="" dxfId="7">
      <formula>AND($E8&lt;&gt;"",$E8&lt;TODAY(),$G8&lt;&gt;"Concluída")</formula>
    </cfRule>
  </conditionalFormatting>
  <conditionalFormatting sqref="B8:B37">
    <cfRule type="expression" priority="10" aboveAverage="0" equalAverage="0" bottom="0" percent="0" rank="0" text="" dxfId="8">
      <formula>$G8="Concluída"</formula>
    </cfRule>
  </conditionalFormatting>
  <conditionalFormatting sqref="C8:C37">
    <cfRule type="expression" priority="11" aboveAverage="0" equalAverage="0" bottom="0" percent="0" rank="0" text="" dxfId="9">
      <formula>AND($B8&lt;&gt;"",$C8="")</formula>
    </cfRule>
  </conditionalFormatting>
  <dataValidations count="2">
    <dataValidation allowBlank="true" error="Escolha: Planejada, Em andamento ou Concluída." errorStyle="stop" errorTitle="Situação" operator="between" showDropDown="false" showErrorMessage="false" showInputMessage="false" sqref="G8:G37" type="list">
      <formula1>"Planejada,Em andamento,Concluída"</formula1>
      <formula2>0</formula2>
    </dataValidation>
    <dataValidation allowBlank="true" error="Informe uma data válida (dd/mm/aaaa)." errorStyle="stop" errorTitle="Data" operator="greaterThan" showDropDown="false" showErrorMessage="false" showInputMessage="false" sqref="D8:E37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2026-10-06T16:55:54Z</dcterms:created>
  <dc:creator>openpyxl</dc:creator>
  <dc:description/>
  <dc:language>en-US</dc:language>
  <cp:lastModifiedBy/>
  <dcterms:modified xsi:type="dcterms:W3CDTF">2026-10-06T16:55:54Z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